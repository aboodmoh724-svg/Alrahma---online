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<sst xmlns="http://schemas.openxmlformats.org/spreadsheetml/2006/main" count="193" uniqueCount="104">
  <si>
    <t>اسم الطالب</t>
  </si>
  <si>
    <t>رقم التواصل</t>
  </si>
  <si>
    <t>الطالب يدرس في</t>
  </si>
  <si>
    <t>اسم المعلم</t>
  </si>
  <si>
    <t>درجة اختبار القرآن %75</t>
  </si>
  <si>
    <t xml:space="preserve">درجة اختبار التربية %10 </t>
  </si>
  <si>
    <t>درجة اختبار نور البيان %60</t>
  </si>
  <si>
    <t>درجة اختبار قصار السور  %15</t>
  </si>
  <si>
    <t>درجة السلوك %8</t>
  </si>
  <si>
    <t xml:space="preserve">الحضور %7 </t>
  </si>
  <si>
    <t xml:space="preserve">النتيجة النهائية </t>
  </si>
  <si>
    <t>يلزم التعهد</t>
  </si>
  <si>
    <t>مصطفى فضيله</t>
  </si>
  <si>
    <t>05348723054</t>
  </si>
  <si>
    <t>حلقة القرآن</t>
  </si>
  <si>
    <t>أسامة سليمان</t>
  </si>
  <si>
    <t>DC</t>
  </si>
  <si>
    <t>زيد صلاح</t>
  </si>
  <si>
    <t>05346619269</t>
  </si>
  <si>
    <t>محمد طحان</t>
  </si>
  <si>
    <t>05342008688</t>
  </si>
  <si>
    <t>عبدالرحمن عرعور</t>
  </si>
  <si>
    <t>05364619534</t>
  </si>
  <si>
    <t>قصي فضيله</t>
  </si>
  <si>
    <t>05383382887</t>
  </si>
  <si>
    <t>محمد خير حبوب</t>
  </si>
  <si>
    <t>05362331693</t>
  </si>
  <si>
    <t>أحمد راعي جوخة</t>
  </si>
  <si>
    <t>اسلام علاء ***</t>
  </si>
  <si>
    <t>05397991282</t>
  </si>
  <si>
    <t>موسى رستم</t>
  </si>
  <si>
    <t>05372437488</t>
  </si>
  <si>
    <t>محمد طاقوت</t>
  </si>
  <si>
    <t>05525276426</t>
  </si>
  <si>
    <t>عبدالغني الأبضال</t>
  </si>
  <si>
    <t>05364500224</t>
  </si>
  <si>
    <t>اياد خرفان</t>
  </si>
  <si>
    <t>05340778256</t>
  </si>
  <si>
    <t>ريان/ أسامة النعمان</t>
  </si>
  <si>
    <t>عبدالرحمن العلي</t>
  </si>
  <si>
    <t>05061693616</t>
  </si>
  <si>
    <t>محمود سنده</t>
  </si>
  <si>
    <t>05370381815</t>
  </si>
  <si>
    <t>احمد طرقجي</t>
  </si>
  <si>
    <t>05364926686</t>
  </si>
  <si>
    <t>آواب وسام ***</t>
  </si>
  <si>
    <t>05349122796</t>
  </si>
  <si>
    <t>نوري قاطرجي</t>
  </si>
  <si>
    <t>05349109749</t>
  </si>
  <si>
    <t>حلقة نور البيان</t>
  </si>
  <si>
    <t>مصطفى محمود</t>
  </si>
  <si>
    <t>معصتم قاطرجي</t>
  </si>
  <si>
    <t>05316360859</t>
  </si>
  <si>
    <t>احمد تشتش</t>
  </si>
  <si>
    <t>05349609142</t>
  </si>
  <si>
    <t>أحمد القط</t>
  </si>
  <si>
    <t>زيد فاخوري</t>
  </si>
  <si>
    <t>05358172356</t>
  </si>
  <si>
    <t>محمد الرحال</t>
  </si>
  <si>
    <t>05316677963</t>
  </si>
  <si>
    <t>جواد حبوب</t>
  </si>
  <si>
    <t>05356261175</t>
  </si>
  <si>
    <t>رضوان قاطرجي</t>
  </si>
  <si>
    <t>05525154989</t>
  </si>
  <si>
    <t>آدم حبوب</t>
  </si>
  <si>
    <t>أحمد حميد</t>
  </si>
  <si>
    <t>05314611104</t>
  </si>
  <si>
    <t>محمد زكي</t>
  </si>
  <si>
    <t>05366001319</t>
  </si>
  <si>
    <t>عبدالله اليحيى</t>
  </si>
  <si>
    <t>محمد الواكي ***</t>
  </si>
  <si>
    <t>05353437703</t>
  </si>
  <si>
    <t>حسن سعيد عيسى</t>
  </si>
  <si>
    <t>05343100185</t>
  </si>
  <si>
    <t>محمد قاطرجي</t>
  </si>
  <si>
    <t>بلال دقاق</t>
  </si>
  <si>
    <t>05050375530</t>
  </si>
  <si>
    <t>سمير جزماتي</t>
  </si>
  <si>
    <t>05527527048</t>
  </si>
  <si>
    <t>سياف عبيد ***</t>
  </si>
  <si>
    <t>05365465335</t>
  </si>
  <si>
    <t>محمد الشيخ</t>
  </si>
  <si>
    <t>05319641007</t>
  </si>
  <si>
    <t>محسن</t>
  </si>
  <si>
    <t>عبدالجبار الطويل</t>
  </si>
  <si>
    <t>05368321391</t>
  </si>
  <si>
    <t>مصطفى الطويل</t>
  </si>
  <si>
    <t>يحيى حبوب</t>
  </si>
  <si>
    <t>احمد حبوب</t>
  </si>
  <si>
    <t>جمعه مصطو</t>
  </si>
  <si>
    <t>05514720730</t>
  </si>
  <si>
    <t>بلال الشيخ</t>
  </si>
  <si>
    <t>خالد آيدن</t>
  </si>
  <si>
    <t>05393608580</t>
  </si>
  <si>
    <t>حلقة القرآن (عن بعد)</t>
  </si>
  <si>
    <t>عبدالرحمن العمري</t>
  </si>
  <si>
    <t>كامل أحمد تشتش</t>
  </si>
  <si>
    <t>00963956847586</t>
  </si>
  <si>
    <t>عمر أحمد تشتش</t>
  </si>
  <si>
    <t>00963951892058</t>
  </si>
  <si>
    <t>أرسلان حسام طه ***</t>
  </si>
  <si>
    <t>05399474074</t>
  </si>
  <si>
    <t>عبدالملك جمال الدين</t>
  </si>
  <si>
    <t>05551081049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</si>
</sst>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indexed="8"/>
      <name val="Calibri"/>
      <charset val="254"/>
    </font>
    <font>
      <b/>
      <sz val="14"/>
      <color indexed="8"/>
      <name val="Arial"/>
      <charset val="254"/>
    </font>
    <font>
      <sz val="12"/>
      <color indexed="8"/>
      <name val="Arial"/>
      <charset val="254"/>
    </font>
    <font>
      <sz val="10"/>
      <name val="Arial"/>
      <charset val="254"/>
    </font>
    <font>
      <u/>
      <sz val="11"/>
      <color rgb="FF0000FF"/>
      <name val="Calibri"/>
      <charset val="254"/>
      <scheme val="minor"/>
    </font>
    <font>
      <u/>
      <sz val="11"/>
      <color rgb="FF800080"/>
      <name val="Calibri"/>
      <charset val="254"/>
      <scheme val="minor"/>
    </font>
    <font>
      <sz val="11"/>
      <color indexed="8"/>
      <name val="Calibri"/>
      <charset val="254"/>
      <scheme val="minor"/>
    </font>
    <font>
      <sz val="11"/>
      <color rgb="FFFF0000"/>
      <name val="Calibri"/>
      <charset val="254"/>
      <scheme val="minor"/>
    </font>
    <font>
      <b/>
      <sz val="18"/>
      <color theme="3"/>
      <name val="Calibri"/>
      <charset val="254"/>
      <scheme val="minor"/>
    </font>
    <font>
      <i/>
      <sz val="11"/>
      <color rgb="FF7F7F7F"/>
      <name val="Calibri"/>
      <charset val="254"/>
      <scheme val="minor"/>
    </font>
    <font>
      <b/>
      <sz val="15"/>
      <color theme="3"/>
      <name val="Calibri"/>
      <charset val="254"/>
      <scheme val="minor"/>
    </font>
    <font>
      <b/>
      <sz val="13"/>
      <color theme="3"/>
      <name val="Calibri"/>
      <charset val="254"/>
      <scheme val="minor"/>
    </font>
    <font>
      <b/>
      <sz val="11"/>
      <color theme="3"/>
      <name val="Calibri"/>
      <charset val="254"/>
      <scheme val="minor"/>
    </font>
    <font>
      <sz val="11"/>
      <color rgb="FF3F3F76"/>
      <name val="Calibri"/>
      <charset val="254"/>
      <scheme val="minor"/>
    </font>
    <font>
      <b/>
      <sz val="11"/>
      <color rgb="FF3F3F3F"/>
      <name val="Calibri"/>
      <charset val="254"/>
      <scheme val="minor"/>
    </font>
    <font>
      <b/>
      <sz val="11"/>
      <color rgb="FFFA7D00"/>
      <name val="Calibri"/>
      <charset val="254"/>
      <scheme val="minor"/>
    </font>
    <font>
      <b/>
      <sz val="11"/>
      <color rgb="FFFFFFFF"/>
      <name val="Calibri"/>
      <charset val="254"/>
      <scheme val="minor"/>
    </font>
    <font>
      <sz val="11"/>
      <color rgb="FFFA7D00"/>
      <name val="Calibri"/>
      <charset val="254"/>
      <scheme val="minor"/>
    </font>
    <font>
      <b/>
      <sz val="11"/>
      <color theme="1"/>
      <name val="Calibri"/>
      <charset val="254"/>
      <scheme val="minor"/>
    </font>
    <font>
      <sz val="11"/>
      <color rgb="FF006100"/>
      <name val="Calibri"/>
      <charset val="254"/>
      <scheme val="minor"/>
    </font>
    <font>
      <sz val="11"/>
      <color rgb="FF9C0006"/>
      <name val="Calibri"/>
      <charset val="254"/>
      <scheme val="minor"/>
    </font>
    <font>
      <sz val="11"/>
      <color rgb="FF9C6500"/>
      <name val="Calibri"/>
      <charset val="254"/>
      <scheme val="minor"/>
    </font>
    <font>
      <sz val="11"/>
      <color theme="0"/>
      <name val="Calibri"/>
      <charset val="254"/>
      <scheme val="minor"/>
    </font>
    <font>
      <sz val="11"/>
      <color theme="1"/>
      <name val="Calibri"/>
      <charset val="25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ill="0" applyBorder="0" applyAlignment="0" applyProtection="0"/>
    <xf numFmtId="44" fontId="3" fillId="0" borderId="0" applyFill="0" applyBorder="0" applyAlignment="0" applyProtection="0"/>
    <xf numFmtId="9" fontId="3" fillId="0" borderId="0" applyFill="0" applyBorder="0" applyAlignment="0" applyProtection="0"/>
    <xf numFmtId="41" fontId="3" fillId="0" borderId="0" applyFill="0" applyBorder="0" applyAlignment="0" applyProtection="0"/>
    <xf numFmtId="42" fontId="3" fillId="0" borderId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2" fillId="2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2" fillId="4" borderId="1" xfId="0" applyFont="1" applyFill="1" applyBorder="1" applyAlignment="1">
      <alignment horizontal="right" wrapText="1" readingOrder="1"/>
    </xf>
    <xf numFmtId="0" fontId="0" fillId="0" borderId="0" xfId="0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5151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CCCCFF"/>
      <color rgb="00C0C0C0"/>
      <color rgb="00000000"/>
      <color rgb="00FF5151"/>
      <color rgb="00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zoomScale="70" zoomScaleNormal="70" workbookViewId="0">
      <selection activeCell="N6" sqref="N6"/>
    </sheetView>
  </sheetViews>
  <sheetFormatPr defaultColWidth="8.88888888888889" defaultRowHeight="14.4"/>
  <cols>
    <col min="1" max="1" width="19" customWidth="1"/>
    <col min="2" max="2" width="18.212962962963"/>
    <col min="3" max="3" width="20.2222222222222" customWidth="1"/>
    <col min="4" max="4" width="22" customWidth="1"/>
    <col min="5" max="5" width="19.7222222222222" customWidth="1"/>
    <col min="6" max="6" width="19.5092592592593" customWidth="1"/>
    <col min="7" max="7" width="21.9351851851852" customWidth="1"/>
    <col min="8" max="8" width="24.4722222222222" customWidth="1"/>
    <col min="9" max="9" width="14.25" customWidth="1"/>
    <col min="10" max="10" width="10.6296296296296" customWidth="1"/>
    <col min="11" max="11" width="12.1759259259259" customWidth="1"/>
    <col min="12" max="12" width="8.87962962962963"/>
    <col min="13" max="13" width="12.0462962962963" customWidth="1"/>
    <col min="14" max="16384" width="8.87962962962963"/>
  </cols>
  <sheetData>
    <row r="1" ht="18.15" spans="1:1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5.75" spans="1:12">
      <c r="A2" s="2" t="s">
        <v>12</v>
      </c>
      <c r="B2" s="6" t="s">
        <v>13</v>
      </c>
      <c r="C2" s="2" t="s">
        <v>14</v>
      </c>
      <c r="D2" s="2" t="s">
        <v>15</v>
      </c>
      <c r="E2">
        <v>71.5</v>
      </c>
      <c r="F2">
        <v>38</v>
      </c>
      <c r="G2">
        <v>0</v>
      </c>
      <c r="H2">
        <v>0</v>
      </c>
      <c r="I2">
        <v>100</v>
      </c>
      <c r="J2">
        <v>100</v>
      </c>
      <c r="K2">
        <f t="shared" ref="K2:K16" si="0">E2*0.75+F2*0.1+G2*0.5+H2*0.25+I2*0.08+J2*0.07</f>
        <v>72.425</v>
      </c>
      <c r="L2" t="s">
        <v>16</v>
      </c>
    </row>
    <row r="3" ht="15.75" spans="1:12">
      <c r="A3" s="2" t="s">
        <v>17</v>
      </c>
      <c r="B3" s="6" t="s">
        <v>18</v>
      </c>
      <c r="C3" s="2" t="s">
        <v>14</v>
      </c>
      <c r="D3" s="2" t="s">
        <v>15</v>
      </c>
      <c r="E3">
        <v>68</v>
      </c>
      <c r="F3">
        <v>23</v>
      </c>
      <c r="G3">
        <v>0</v>
      </c>
      <c r="H3">
        <v>0</v>
      </c>
      <c r="I3">
        <v>100</v>
      </c>
      <c r="J3">
        <v>100</v>
      </c>
      <c r="K3">
        <f t="shared" si="0"/>
        <v>68.3</v>
      </c>
      <c r="L3" t="s">
        <v>16</v>
      </c>
    </row>
    <row r="4" ht="15.75" spans="1:11">
      <c r="A4" s="2" t="s">
        <v>19</v>
      </c>
      <c r="B4" s="6" t="s">
        <v>20</v>
      </c>
      <c r="C4" s="2" t="s">
        <v>14</v>
      </c>
      <c r="D4" s="2" t="s">
        <v>15</v>
      </c>
      <c r="E4">
        <v>71</v>
      </c>
      <c r="F4">
        <v>100</v>
      </c>
      <c r="G4">
        <v>0</v>
      </c>
      <c r="H4">
        <v>0</v>
      </c>
      <c r="I4">
        <v>100</v>
      </c>
      <c r="J4">
        <v>100</v>
      </c>
      <c r="K4">
        <f t="shared" si="0"/>
        <v>78.25</v>
      </c>
    </row>
    <row r="5" ht="15.75" spans="1:11">
      <c r="A5" s="2" t="s">
        <v>21</v>
      </c>
      <c r="B5" s="6" t="s">
        <v>22</v>
      </c>
      <c r="C5" s="2" t="s">
        <v>14</v>
      </c>
      <c r="D5" s="2" t="s">
        <v>15</v>
      </c>
      <c r="E5">
        <v>76</v>
      </c>
      <c r="F5">
        <v>90</v>
      </c>
      <c r="G5">
        <v>0</v>
      </c>
      <c r="H5">
        <v>0</v>
      </c>
      <c r="I5">
        <v>100</v>
      </c>
      <c r="J5">
        <v>100</v>
      </c>
      <c r="K5">
        <f t="shared" si="0"/>
        <v>81</v>
      </c>
    </row>
    <row r="6" ht="15.75" spans="1:11">
      <c r="A6" s="2" t="s">
        <v>23</v>
      </c>
      <c r="B6" s="6" t="s">
        <v>24</v>
      </c>
      <c r="C6" s="2" t="s">
        <v>14</v>
      </c>
      <c r="D6" s="2" t="s">
        <v>15</v>
      </c>
      <c r="E6">
        <v>78</v>
      </c>
      <c r="F6">
        <v>27</v>
      </c>
      <c r="G6">
        <v>0</v>
      </c>
      <c r="H6">
        <v>0</v>
      </c>
      <c r="I6">
        <v>100</v>
      </c>
      <c r="J6">
        <v>100</v>
      </c>
      <c r="K6">
        <f t="shared" si="0"/>
        <v>76.2</v>
      </c>
    </row>
    <row r="7" ht="15.75" spans="1:11">
      <c r="A7" s="3" t="s">
        <v>25</v>
      </c>
      <c r="B7" s="6" t="s">
        <v>26</v>
      </c>
      <c r="C7" s="3" t="s">
        <v>14</v>
      </c>
      <c r="D7" s="3" t="s">
        <v>27</v>
      </c>
      <c r="E7">
        <v>82</v>
      </c>
      <c r="F7">
        <v>28</v>
      </c>
      <c r="G7">
        <v>0</v>
      </c>
      <c r="H7">
        <v>0</v>
      </c>
      <c r="I7">
        <v>100</v>
      </c>
      <c r="J7">
        <v>100</v>
      </c>
      <c r="K7">
        <f t="shared" si="0"/>
        <v>79.3</v>
      </c>
    </row>
    <row r="8" ht="15.75" spans="1:11">
      <c r="A8" s="3" t="s">
        <v>28</v>
      </c>
      <c r="B8" s="6" t="s">
        <v>29</v>
      </c>
      <c r="C8" s="3" t="s">
        <v>14</v>
      </c>
      <c r="D8" s="3" t="s">
        <v>27</v>
      </c>
      <c r="E8">
        <v>81</v>
      </c>
      <c r="F8">
        <v>20</v>
      </c>
      <c r="G8">
        <v>0</v>
      </c>
      <c r="H8">
        <v>0</v>
      </c>
      <c r="I8">
        <v>100</v>
      </c>
      <c r="J8">
        <v>100</v>
      </c>
      <c r="K8">
        <f t="shared" si="0"/>
        <v>77.75</v>
      </c>
    </row>
    <row r="9" ht="15.75" spans="1:11">
      <c r="A9" s="3" t="s">
        <v>30</v>
      </c>
      <c r="B9" s="6" t="s">
        <v>31</v>
      </c>
      <c r="C9" s="3" t="s">
        <v>14</v>
      </c>
      <c r="D9" s="3" t="s">
        <v>27</v>
      </c>
      <c r="E9">
        <v>82</v>
      </c>
      <c r="F9">
        <v>6</v>
      </c>
      <c r="G9">
        <v>0</v>
      </c>
      <c r="H9">
        <v>0</v>
      </c>
      <c r="I9">
        <v>100</v>
      </c>
      <c r="J9">
        <v>100</v>
      </c>
      <c r="K9">
        <f t="shared" si="0"/>
        <v>77.1</v>
      </c>
    </row>
    <row r="10" ht="15.75" spans="1:11">
      <c r="A10" s="3" t="s">
        <v>32</v>
      </c>
      <c r="B10" s="6" t="s">
        <v>33</v>
      </c>
      <c r="C10" s="3" t="s">
        <v>14</v>
      </c>
      <c r="D10" s="3" t="s">
        <v>27</v>
      </c>
      <c r="E10">
        <v>86</v>
      </c>
      <c r="F10">
        <v>30</v>
      </c>
      <c r="G10">
        <v>0</v>
      </c>
      <c r="H10">
        <v>0</v>
      </c>
      <c r="I10">
        <v>100</v>
      </c>
      <c r="J10">
        <v>100</v>
      </c>
      <c r="K10">
        <f t="shared" si="0"/>
        <v>82.5</v>
      </c>
    </row>
    <row r="11" ht="15.75" spans="1:12">
      <c r="A11" s="3" t="s">
        <v>34</v>
      </c>
      <c r="B11" s="6" t="s">
        <v>35</v>
      </c>
      <c r="C11" s="3" t="s">
        <v>14</v>
      </c>
      <c r="D11" s="3" t="s">
        <v>27</v>
      </c>
      <c r="E11">
        <v>58</v>
      </c>
      <c r="F11">
        <v>28</v>
      </c>
      <c r="G11">
        <v>0</v>
      </c>
      <c r="H11">
        <v>0</v>
      </c>
      <c r="I11">
        <v>100</v>
      </c>
      <c r="J11">
        <v>100</v>
      </c>
      <c r="K11">
        <f t="shared" si="0"/>
        <v>61.3</v>
      </c>
      <c r="L11" t="s">
        <v>16</v>
      </c>
    </row>
    <row r="12" ht="15.75" spans="1:12">
      <c r="A12" s="3" t="s">
        <v>36</v>
      </c>
      <c r="B12" s="6" t="s">
        <v>37</v>
      </c>
      <c r="C12" s="3" t="s">
        <v>14</v>
      </c>
      <c r="D12" s="3" t="s">
        <v>38</v>
      </c>
      <c r="E12">
        <v>67.5</v>
      </c>
      <c r="F12">
        <v>76</v>
      </c>
      <c r="G12">
        <v>0</v>
      </c>
      <c r="H12">
        <v>0</v>
      </c>
      <c r="I12">
        <v>100</v>
      </c>
      <c r="J12">
        <v>100</v>
      </c>
      <c r="K12">
        <f t="shared" si="0"/>
        <v>73.225</v>
      </c>
      <c r="L12" t="s">
        <v>16</v>
      </c>
    </row>
    <row r="13" ht="15.75" spans="1:11">
      <c r="A13" s="3" t="s">
        <v>39</v>
      </c>
      <c r="B13" s="6" t="s">
        <v>40</v>
      </c>
      <c r="C13" s="3" t="s">
        <v>14</v>
      </c>
      <c r="D13" s="3" t="s">
        <v>38</v>
      </c>
      <c r="E13">
        <v>69</v>
      </c>
      <c r="F13">
        <v>88</v>
      </c>
      <c r="G13">
        <v>0</v>
      </c>
      <c r="H13">
        <v>0</v>
      </c>
      <c r="I13">
        <v>100</v>
      </c>
      <c r="J13">
        <v>100</v>
      </c>
      <c r="K13">
        <f t="shared" si="0"/>
        <v>75.55</v>
      </c>
    </row>
    <row r="14" ht="15.75" spans="1:11">
      <c r="A14" s="3" t="s">
        <v>41</v>
      </c>
      <c r="B14" s="6" t="s">
        <v>42</v>
      </c>
      <c r="C14" s="3" t="s">
        <v>14</v>
      </c>
      <c r="D14" s="3" t="s">
        <v>38</v>
      </c>
      <c r="E14">
        <v>79</v>
      </c>
      <c r="F14">
        <v>73</v>
      </c>
      <c r="G14">
        <v>0</v>
      </c>
      <c r="H14">
        <v>0</v>
      </c>
      <c r="I14">
        <v>100</v>
      </c>
      <c r="J14">
        <v>100</v>
      </c>
      <c r="K14">
        <f t="shared" si="0"/>
        <v>81.55</v>
      </c>
    </row>
    <row r="15" ht="15.75" spans="1:12">
      <c r="A15" s="3" t="s">
        <v>43</v>
      </c>
      <c r="B15" s="6" t="s">
        <v>44</v>
      </c>
      <c r="C15" s="3" t="s">
        <v>14</v>
      </c>
      <c r="D15" s="3" t="s">
        <v>38</v>
      </c>
      <c r="E15">
        <v>75</v>
      </c>
      <c r="F15">
        <v>5</v>
      </c>
      <c r="G15">
        <v>0</v>
      </c>
      <c r="H15">
        <v>0</v>
      </c>
      <c r="I15">
        <v>100</v>
      </c>
      <c r="J15">
        <v>100</v>
      </c>
      <c r="K15">
        <f t="shared" si="0"/>
        <v>71.75</v>
      </c>
      <c r="L15" t="s">
        <v>16</v>
      </c>
    </row>
    <row r="16" ht="15.75" spans="1:11">
      <c r="A16" s="3" t="s">
        <v>45</v>
      </c>
      <c r="B16" s="6" t="s">
        <v>46</v>
      </c>
      <c r="C16" s="3" t="s">
        <v>14</v>
      </c>
      <c r="D16" s="3" t="s">
        <v>38</v>
      </c>
      <c r="E16">
        <v>86.5</v>
      </c>
      <c r="F16">
        <v>4</v>
      </c>
      <c r="G16">
        <v>0</v>
      </c>
      <c r="H16">
        <v>0</v>
      </c>
      <c r="I16">
        <v>100</v>
      </c>
      <c r="J16">
        <v>100</v>
      </c>
      <c r="K16">
        <f t="shared" si="0"/>
        <v>80.275</v>
      </c>
    </row>
    <row r="17" ht="15.75" spans="1:11">
      <c r="A17" s="2" t="s">
        <v>47</v>
      </c>
      <c r="B17" s="6" t="s">
        <v>48</v>
      </c>
      <c r="C17" s="2" t="s">
        <v>49</v>
      </c>
      <c r="D17" s="2" t="s">
        <v>50</v>
      </c>
      <c r="E17">
        <v>0</v>
      </c>
      <c r="F17">
        <v>100</v>
      </c>
      <c r="G17">
        <v>75.5</v>
      </c>
      <c r="H17">
        <v>93</v>
      </c>
      <c r="I17">
        <v>100</v>
      </c>
      <c r="J17">
        <v>100</v>
      </c>
      <c r="K17">
        <f>E17*0.75+F17*0.1+G17*0.6+H17*0.15+I17*0.08+J17*0.07</f>
        <v>84.25</v>
      </c>
    </row>
    <row r="18" ht="15.75" spans="1:13">
      <c r="A18" s="2" t="s">
        <v>51</v>
      </c>
      <c r="B18" s="6" t="s">
        <v>52</v>
      </c>
      <c r="C18" s="2" t="s">
        <v>49</v>
      </c>
      <c r="D18" s="2" t="s">
        <v>50</v>
      </c>
      <c r="E18">
        <v>0</v>
      </c>
      <c r="F18">
        <v>100</v>
      </c>
      <c r="G18">
        <v>99</v>
      </c>
      <c r="H18">
        <v>95</v>
      </c>
      <c r="I18">
        <v>100</v>
      </c>
      <c r="J18">
        <v>100</v>
      </c>
      <c r="K18">
        <f t="shared" ref="K18:K44" si="1">E18*0.75+F18*0.1+G18*0.6+H18*0.15+I18*0.08+J18*0.07</f>
        <v>98.65</v>
      </c>
      <c r="M18" s="5"/>
    </row>
    <row r="19" ht="15.75" spans="1:12">
      <c r="A19" s="2" t="s">
        <v>53</v>
      </c>
      <c r="B19" s="6" t="s">
        <v>54</v>
      </c>
      <c r="C19" s="2" t="s">
        <v>49</v>
      </c>
      <c r="D19" s="2" t="s">
        <v>55</v>
      </c>
      <c r="E19">
        <v>0</v>
      </c>
      <c r="F19">
        <v>100</v>
      </c>
      <c r="G19">
        <v>55</v>
      </c>
      <c r="H19">
        <v>90</v>
      </c>
      <c r="I19">
        <v>100</v>
      </c>
      <c r="J19">
        <v>100</v>
      </c>
      <c r="K19">
        <f t="shared" si="1"/>
        <v>71.5</v>
      </c>
      <c r="L19" t="s">
        <v>16</v>
      </c>
    </row>
    <row r="20" ht="15.75" spans="1:11">
      <c r="A20" s="2" t="s">
        <v>56</v>
      </c>
      <c r="B20" s="6" t="s">
        <v>57</v>
      </c>
      <c r="C20" s="2" t="s">
        <v>49</v>
      </c>
      <c r="D20" s="2" t="s">
        <v>55</v>
      </c>
      <c r="E20">
        <v>0</v>
      </c>
      <c r="F20">
        <v>100</v>
      </c>
      <c r="G20">
        <v>88</v>
      </c>
      <c r="H20">
        <v>98</v>
      </c>
      <c r="I20">
        <v>100</v>
      </c>
      <c r="J20">
        <v>100</v>
      </c>
      <c r="K20">
        <f t="shared" si="1"/>
        <v>92.5</v>
      </c>
    </row>
    <row r="21" ht="15.75" spans="1:11">
      <c r="A21" s="2" t="s">
        <v>58</v>
      </c>
      <c r="B21" s="6" t="s">
        <v>59</v>
      </c>
      <c r="C21" s="2" t="s">
        <v>49</v>
      </c>
      <c r="D21" s="2" t="s">
        <v>50</v>
      </c>
      <c r="E21">
        <v>0</v>
      </c>
      <c r="F21">
        <v>80</v>
      </c>
      <c r="G21">
        <v>76</v>
      </c>
      <c r="H21">
        <v>83</v>
      </c>
      <c r="I21">
        <v>100</v>
      </c>
      <c r="J21">
        <v>100</v>
      </c>
      <c r="K21">
        <f t="shared" si="1"/>
        <v>81.05</v>
      </c>
    </row>
    <row r="22" ht="15.75" spans="1:13">
      <c r="A22" s="2" t="s">
        <v>60</v>
      </c>
      <c r="B22" s="6" t="s">
        <v>61</v>
      </c>
      <c r="C22" s="2" t="s">
        <v>49</v>
      </c>
      <c r="D22" s="2" t="s">
        <v>55</v>
      </c>
      <c r="E22">
        <v>0</v>
      </c>
      <c r="F22">
        <v>100</v>
      </c>
      <c r="G22">
        <v>92</v>
      </c>
      <c r="H22">
        <v>100</v>
      </c>
      <c r="I22">
        <v>100</v>
      </c>
      <c r="J22">
        <v>100</v>
      </c>
      <c r="K22">
        <f t="shared" si="1"/>
        <v>95.2</v>
      </c>
      <c r="M22" s="5"/>
    </row>
    <row r="23" ht="15.75" spans="1:11">
      <c r="A23" s="2" t="s">
        <v>62</v>
      </c>
      <c r="B23" s="6" t="s">
        <v>63</v>
      </c>
      <c r="C23" s="2" t="s">
        <v>49</v>
      </c>
      <c r="D23" s="2" t="s">
        <v>55</v>
      </c>
      <c r="E23">
        <v>0</v>
      </c>
      <c r="F23">
        <v>100</v>
      </c>
      <c r="G23">
        <v>59</v>
      </c>
      <c r="H23">
        <v>95</v>
      </c>
      <c r="I23">
        <v>100</v>
      </c>
      <c r="J23">
        <v>100</v>
      </c>
      <c r="K23">
        <f t="shared" si="1"/>
        <v>74.65</v>
      </c>
    </row>
    <row r="24" ht="15.75" spans="1:12">
      <c r="A24" s="2" t="s">
        <v>64</v>
      </c>
      <c r="B24" s="6" t="s">
        <v>26</v>
      </c>
      <c r="C24" s="2" t="s">
        <v>49</v>
      </c>
      <c r="D24" s="2" t="s">
        <v>55</v>
      </c>
      <c r="E24">
        <v>0</v>
      </c>
      <c r="F24">
        <v>100</v>
      </c>
      <c r="G24">
        <v>55</v>
      </c>
      <c r="H24">
        <v>100</v>
      </c>
      <c r="I24">
        <v>100</v>
      </c>
      <c r="J24">
        <v>100</v>
      </c>
      <c r="K24">
        <f t="shared" si="1"/>
        <v>73</v>
      </c>
      <c r="L24" t="s">
        <v>16</v>
      </c>
    </row>
    <row r="25" ht="15.75" spans="1:13">
      <c r="A25" s="2" t="s">
        <v>65</v>
      </c>
      <c r="B25" s="6" t="s">
        <v>66</v>
      </c>
      <c r="C25" s="2" t="s">
        <v>49</v>
      </c>
      <c r="D25" s="2" t="s">
        <v>50</v>
      </c>
      <c r="E25">
        <v>0</v>
      </c>
      <c r="F25">
        <v>100</v>
      </c>
      <c r="G25">
        <v>95</v>
      </c>
      <c r="H25">
        <v>90</v>
      </c>
      <c r="I25">
        <v>100</v>
      </c>
      <c r="J25">
        <v>100</v>
      </c>
      <c r="K25">
        <f t="shared" si="1"/>
        <v>95.5</v>
      </c>
      <c r="M25" s="5"/>
    </row>
    <row r="26" ht="15.75" spans="1:11">
      <c r="A26" s="3" t="s">
        <v>67</v>
      </c>
      <c r="B26" s="6" t="s">
        <v>68</v>
      </c>
      <c r="C26" s="3" t="s">
        <v>49</v>
      </c>
      <c r="D26" s="3" t="s">
        <v>69</v>
      </c>
      <c r="E26">
        <v>0</v>
      </c>
      <c r="F26">
        <v>100</v>
      </c>
      <c r="G26">
        <v>75</v>
      </c>
      <c r="H26">
        <v>90</v>
      </c>
      <c r="I26">
        <v>100</v>
      </c>
      <c r="J26">
        <v>100</v>
      </c>
      <c r="K26">
        <f t="shared" si="1"/>
        <v>83.5</v>
      </c>
    </row>
    <row r="27" ht="15.75" spans="1:11">
      <c r="A27" s="3" t="s">
        <v>70</v>
      </c>
      <c r="B27" s="6" t="s">
        <v>71</v>
      </c>
      <c r="C27" s="3" t="s">
        <v>49</v>
      </c>
      <c r="D27" s="3" t="s">
        <v>69</v>
      </c>
      <c r="E27">
        <v>0</v>
      </c>
      <c r="F27">
        <v>100</v>
      </c>
      <c r="G27">
        <v>75</v>
      </c>
      <c r="H27">
        <v>94</v>
      </c>
      <c r="I27">
        <v>100</v>
      </c>
      <c r="J27">
        <v>100</v>
      </c>
      <c r="K27">
        <f t="shared" si="1"/>
        <v>84.1</v>
      </c>
    </row>
    <row r="28" ht="15.75" spans="1:11">
      <c r="A28" s="3" t="s">
        <v>72</v>
      </c>
      <c r="B28" s="6" t="s">
        <v>73</v>
      </c>
      <c r="C28" s="3" t="s">
        <v>49</v>
      </c>
      <c r="D28" s="3" t="s">
        <v>55</v>
      </c>
      <c r="E28">
        <v>0</v>
      </c>
      <c r="F28">
        <v>60</v>
      </c>
      <c r="G28">
        <v>99</v>
      </c>
      <c r="H28">
        <v>78</v>
      </c>
      <c r="I28">
        <v>100</v>
      </c>
      <c r="J28">
        <v>100</v>
      </c>
      <c r="K28">
        <f t="shared" si="1"/>
        <v>92.1</v>
      </c>
    </row>
    <row r="29" ht="15.75" spans="1:11">
      <c r="A29" s="3" t="s">
        <v>74</v>
      </c>
      <c r="B29" s="6" t="s">
        <v>52</v>
      </c>
      <c r="C29" s="3" t="s">
        <v>49</v>
      </c>
      <c r="D29" s="3" t="s">
        <v>69</v>
      </c>
      <c r="E29">
        <v>0</v>
      </c>
      <c r="F29">
        <v>100</v>
      </c>
      <c r="G29">
        <v>83</v>
      </c>
      <c r="H29">
        <v>90</v>
      </c>
      <c r="I29">
        <v>100</v>
      </c>
      <c r="J29">
        <v>100</v>
      </c>
      <c r="K29">
        <f t="shared" si="1"/>
        <v>88.3</v>
      </c>
    </row>
    <row r="30" ht="15.75" spans="1:11">
      <c r="A30" s="3" t="s">
        <v>75</v>
      </c>
      <c r="B30" s="6" t="s">
        <v>76</v>
      </c>
      <c r="C30" s="3" t="s">
        <v>49</v>
      </c>
      <c r="D30" s="3" t="s">
        <v>69</v>
      </c>
      <c r="E30">
        <v>0</v>
      </c>
      <c r="F30">
        <v>100</v>
      </c>
      <c r="G30">
        <v>93</v>
      </c>
      <c r="H30">
        <v>95</v>
      </c>
      <c r="I30">
        <v>100</v>
      </c>
      <c r="J30">
        <v>100</v>
      </c>
      <c r="K30">
        <f t="shared" si="1"/>
        <v>95.05</v>
      </c>
    </row>
    <row r="31" ht="15.75" spans="1:11">
      <c r="A31" s="3" t="s">
        <v>77</v>
      </c>
      <c r="B31" s="6" t="s">
        <v>78</v>
      </c>
      <c r="C31" s="3" t="s">
        <v>49</v>
      </c>
      <c r="D31" s="3" t="s">
        <v>69</v>
      </c>
      <c r="E31">
        <v>0</v>
      </c>
      <c r="F31">
        <v>100</v>
      </c>
      <c r="G31">
        <v>78</v>
      </c>
      <c r="H31">
        <v>95</v>
      </c>
      <c r="I31">
        <v>100</v>
      </c>
      <c r="J31">
        <v>100</v>
      </c>
      <c r="K31">
        <f t="shared" si="1"/>
        <v>86.05</v>
      </c>
    </row>
    <row r="32" ht="15.75" spans="1:11">
      <c r="A32" s="3" t="s">
        <v>79</v>
      </c>
      <c r="B32" s="6" t="s">
        <v>80</v>
      </c>
      <c r="C32" s="3" t="s">
        <v>49</v>
      </c>
      <c r="D32" s="3" t="s">
        <v>69</v>
      </c>
      <c r="E32">
        <v>0</v>
      </c>
      <c r="F32">
        <v>58</v>
      </c>
      <c r="G32">
        <v>85</v>
      </c>
      <c r="H32">
        <v>99</v>
      </c>
      <c r="I32">
        <v>100</v>
      </c>
      <c r="J32">
        <v>100</v>
      </c>
      <c r="K32">
        <f t="shared" si="1"/>
        <v>86.65</v>
      </c>
    </row>
    <row r="33" ht="15.75" spans="1:11">
      <c r="A33" s="3" t="s">
        <v>81</v>
      </c>
      <c r="B33" s="6" t="s">
        <v>82</v>
      </c>
      <c r="C33" s="3" t="s">
        <v>49</v>
      </c>
      <c r="D33" s="3" t="s">
        <v>83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1"/>
        <v>0</v>
      </c>
    </row>
    <row r="34" ht="15.75" spans="1:12">
      <c r="A34" s="3" t="s">
        <v>84</v>
      </c>
      <c r="B34" s="6" t="s">
        <v>85</v>
      </c>
      <c r="C34" s="3" t="s">
        <v>49</v>
      </c>
      <c r="D34" s="3" t="s">
        <v>83</v>
      </c>
      <c r="E34">
        <v>0</v>
      </c>
      <c r="F34">
        <v>80</v>
      </c>
      <c r="G34">
        <v>54</v>
      </c>
      <c r="H34">
        <v>85</v>
      </c>
      <c r="I34">
        <v>100</v>
      </c>
      <c r="J34">
        <v>100</v>
      </c>
      <c r="K34">
        <f t="shared" si="1"/>
        <v>68.15</v>
      </c>
      <c r="L34" t="s">
        <v>16</v>
      </c>
    </row>
    <row r="35" ht="15.75" spans="1:11">
      <c r="A35" s="3" t="s">
        <v>86</v>
      </c>
      <c r="B35" s="6" t="s">
        <v>85</v>
      </c>
      <c r="C35" s="3" t="s">
        <v>49</v>
      </c>
      <c r="D35" s="3" t="s">
        <v>83</v>
      </c>
      <c r="E35">
        <v>0</v>
      </c>
      <c r="F35">
        <v>100</v>
      </c>
      <c r="G35">
        <v>70</v>
      </c>
      <c r="H35">
        <v>95</v>
      </c>
      <c r="I35">
        <v>100</v>
      </c>
      <c r="J35">
        <v>100</v>
      </c>
      <c r="K35">
        <f t="shared" si="1"/>
        <v>81.25</v>
      </c>
    </row>
    <row r="36" ht="15.75" spans="1:12">
      <c r="A36" s="3" t="s">
        <v>87</v>
      </c>
      <c r="B36" s="6" t="s">
        <v>26</v>
      </c>
      <c r="C36" s="3" t="s">
        <v>49</v>
      </c>
      <c r="D36" s="3" t="s">
        <v>83</v>
      </c>
      <c r="E36">
        <v>0</v>
      </c>
      <c r="F36">
        <v>100</v>
      </c>
      <c r="G36">
        <v>60</v>
      </c>
      <c r="H36">
        <v>93</v>
      </c>
      <c r="I36">
        <v>100</v>
      </c>
      <c r="J36">
        <v>100</v>
      </c>
      <c r="K36">
        <f t="shared" si="1"/>
        <v>74.95</v>
      </c>
      <c r="L36" t="s">
        <v>16</v>
      </c>
    </row>
    <row r="37" ht="15.75" spans="1:11">
      <c r="A37" s="3" t="s">
        <v>88</v>
      </c>
      <c r="B37" s="6" t="s">
        <v>61</v>
      </c>
      <c r="C37" s="3" t="s">
        <v>49</v>
      </c>
      <c r="D37" s="3" t="s">
        <v>83</v>
      </c>
      <c r="E37">
        <v>0</v>
      </c>
      <c r="F37">
        <v>80</v>
      </c>
      <c r="G37">
        <v>81</v>
      </c>
      <c r="H37">
        <v>100</v>
      </c>
      <c r="I37">
        <v>100</v>
      </c>
      <c r="J37">
        <v>100</v>
      </c>
      <c r="K37">
        <f t="shared" si="1"/>
        <v>86.6</v>
      </c>
    </row>
    <row r="38" ht="15.75" spans="1:11">
      <c r="A38" s="3" t="s">
        <v>89</v>
      </c>
      <c r="B38" s="6" t="s">
        <v>90</v>
      </c>
      <c r="C38" s="3" t="s">
        <v>49</v>
      </c>
      <c r="D38" s="3" t="s">
        <v>83</v>
      </c>
      <c r="E38">
        <v>0</v>
      </c>
      <c r="F38">
        <v>100</v>
      </c>
      <c r="G38">
        <v>75</v>
      </c>
      <c r="H38">
        <v>96</v>
      </c>
      <c r="I38">
        <v>100</v>
      </c>
      <c r="J38">
        <v>100</v>
      </c>
      <c r="K38">
        <f t="shared" si="1"/>
        <v>84.4</v>
      </c>
    </row>
    <row r="39" ht="15.75" spans="1:4">
      <c r="A39" s="3" t="s">
        <v>91</v>
      </c>
      <c r="B39" s="6" t="s">
        <v>82</v>
      </c>
      <c r="C39" s="3" t="s">
        <v>49</v>
      </c>
      <c r="D39" s="3" t="s">
        <v>83</v>
      </c>
    </row>
    <row r="40" ht="15.75" spans="1:4">
      <c r="A40" s="4" t="s">
        <v>92</v>
      </c>
      <c r="B40" s="6" t="s">
        <v>93</v>
      </c>
      <c r="C40" s="4" t="s">
        <v>94</v>
      </c>
      <c r="D40" s="4" t="s">
        <v>95</v>
      </c>
    </row>
    <row r="41" ht="15.75" spans="1:4">
      <c r="A41" s="4" t="s">
        <v>96</v>
      </c>
      <c r="B41" s="6" t="s">
        <v>97</v>
      </c>
      <c r="C41" s="4" t="s">
        <v>94</v>
      </c>
      <c r="D41" s="4" t="s">
        <v>95</v>
      </c>
    </row>
    <row r="42" ht="15.75" spans="1:4">
      <c r="A42" s="4" t="s">
        <v>98</v>
      </c>
      <c r="B42" s="6" t="s">
        <v>99</v>
      </c>
      <c r="C42" s="4" t="s">
        <v>94</v>
      </c>
      <c r="D42" s="4" t="s">
        <v>95</v>
      </c>
    </row>
    <row r="43" ht="15.75" spans="1:4">
      <c r="A43" s="4" t="s">
        <v>100</v>
      </c>
      <c r="B43" s="6" t="s">
        <v>101</v>
      </c>
      <c r="C43" s="4" t="s">
        <v>94</v>
      </c>
      <c r="D43" s="4" t="s">
        <v>95</v>
      </c>
    </row>
    <row r="44" ht="15.75" spans="1:4">
      <c r="A44" s="4" t="s">
        <v>102</v>
      </c>
      <c r="B44" s="6" t="s">
        <v>103</v>
      </c>
      <c r="C44" s="4" t="s">
        <v>94</v>
      </c>
      <c r="D44" s="4" t="s">
        <v>95</v>
      </c>
    </row>
  </sheetData>
  <sheetProtection selectLockedCells="1" selectUnlockedCells="1"/>
  <conditionalFormatting sqref="K$1:K$1048576">
    <cfRule type="top10" dxfId="0" priority="4" rank="11"/>
    <cfRule type="top10" dxfId="0" priority="3" rank="12"/>
    <cfRule type="top10" dxfId="0" priority="2" rank="13"/>
    <cfRule type="top10" dxfId="0" priority="1" rank="14"/>
  </conditionalFormatting>
  <conditionalFormatting sqref="K2:K38">
    <cfRule type="cellIs" dxfId="1" priority="8" operator="between">
      <formula>0</formula>
      <formula>74.9999</formula>
    </cfRule>
    <cfRule type="cellIs" dxfId="2" priority="7" operator="between">
      <formula>75</formula>
      <formula>100</formula>
    </cfRule>
    <cfRule type="top10" dxfId="0" priority="6" rank="5"/>
    <cfRule type="top10" dxfId="0" priority="5" rank="10"/>
  </conditionalFormatting>
  <pageMargins left="0.75" right="0.75" top="1" bottom="1" header="0.511811023622047" footer="0.511811023622047"/>
  <pageSetup paperSize="9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Seyfettin</cp:lastModifiedBy>
  <cp:revision>1</cp:revision>
  <dcterms:created xsi:type="dcterms:W3CDTF">2026-07-22T21:29:00Z</dcterms:created>
  <dcterms:modified xsi:type="dcterms:W3CDTF">2026-08-03T16:55:49Z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8820E81F72314C94ADE3823E9638E1CB_13</vt:lpwstr>
  </property>
  <property fmtid="{D5CDD505-2E9C-101B-9397-08002B2CF9AE}" pid="3" name="KSOProductBuildVer">
    <vt:lpwstr>1033-12.2.0.23206</vt:lpwstr>
  </property>
  <property fmtid="{D5CDD505-2E9C-101B-9397-08002B2CF9AE}" pid="4" name="KSOReadingLayout">
    <vt:bool>true</vt:bool>
  </property>
</Properties>
</file>